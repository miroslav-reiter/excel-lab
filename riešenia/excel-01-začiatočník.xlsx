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aj" sheetId="1" state="visible" r:id="rId1"/>
    <sheet xmlns:r="http://schemas.openxmlformats.org/officeDocument/2006/relationships" name="Faktúra" sheetId="2" state="visible" r:id="rId2"/>
    <sheet xmlns:r="http://schemas.openxmlformats.org/officeDocument/2006/relationships" name="Dochádzka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#,##0.00 [$€-sk-SK];[Red](#,##0.00 [$€-sk-SK]);-"/>
    <numFmt numFmtId="165" formatCode="#,##0;[Red](#,##0);-"/>
    <numFmt numFmtId="166" formatCode="0.00%;[Red](0.00%);-"/>
    <numFmt numFmtId="167" formatCode="dd.mm.yyyy"/>
    <numFmt numFmtId="168" formatCode="hh:mm"/>
    <numFmt numFmtId="169" formatCode="[h]:mm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6456CF"/>
      </patternFill>
    </fill>
    <fill>
      <patternFill patternType="solid">
        <fgColor rgb="00343A4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PredajZaklady" displayName="tblPredajZaklady" ref="A3:H9" headerRowCount="1">
  <autoFilter ref="A3:H9"/>
  <tableColumns count="8">
    <tableColumn id="1" name="Product"/>
    <tableColumn id="2" name="Category"/>
    <tableColumn id="3" name="Unit Price"/>
    <tableColumn id="4" name="Quantity"/>
    <tableColumn id="5" name="Revenue"/>
    <tableColumn id="6" name="VAT Rate"/>
    <tableColumn id="7" name="VAT"/>
    <tableColumn id="8" name="Total incl. VA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DochadzkaZaklady" displayName="tblDochadzkaZaklady" ref="A3:G7" headerRowCount="1">
  <autoFilter ref="A3:G7"/>
  <tableColumns count="7">
    <tableColumn id="1" name="Date"/>
    <tableColumn id="2" name="Employee"/>
    <tableColumn id="3" name="Arrival"/>
    <tableColumn id="4" name="Departure"/>
    <tableColumn id="5" name="Break (h)"/>
    <tableColumn id="6" name="Worked time"/>
    <tableColumn id="7" name="Work mod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7" customWidth="1" min="10" max="10"/>
    <col width="17" customWidth="1" min="11" max="11"/>
  </cols>
  <sheetData>
    <row r="1" ht="26" customHeight="1">
      <c r="A1" s="1" t="inlineStr">
        <is>
          <t>Excel I. Začiatočník – Predaj</t>
        </is>
      </c>
    </row>
    <row r="2"/>
    <row r="3">
      <c r="A3" s="2" t="inlineStr">
        <is>
          <t>Produkt</t>
        </is>
      </c>
      <c r="B3" s="2" t="inlineStr">
        <is>
          <t>Kategória</t>
        </is>
      </c>
      <c r="C3" s="2" t="inlineStr">
        <is>
          <t>Jednotková cena</t>
        </is>
      </c>
      <c r="D3" s="2" t="inlineStr">
        <is>
          <t>Množstvo</t>
        </is>
      </c>
      <c r="E3" s="2" t="inlineStr">
        <is>
          <t>Tržba</t>
        </is>
      </c>
      <c r="F3" s="2" t="inlineStr">
        <is>
          <t>Sadzba DPH</t>
        </is>
      </c>
      <c r="G3" s="2" t="inlineStr">
        <is>
          <t>DPH</t>
        </is>
      </c>
      <c r="H3" s="2" t="inlineStr">
        <is>
          <t>Spolu s DPH</t>
        </is>
      </c>
      <c r="J3" s="3" t="inlineStr">
        <is>
          <t>Súhrn</t>
        </is>
      </c>
    </row>
    <row r="4">
      <c r="A4" t="inlineStr">
        <is>
          <t>Notebook Pro 14</t>
        </is>
      </c>
      <c r="B4" t="inlineStr">
        <is>
          <t>Notebooky</t>
        </is>
      </c>
      <c r="C4" s="4" t="n">
        <v>899</v>
      </c>
      <c r="D4" s="12" t="n">
        <v>2</v>
      </c>
      <c r="E4" s="4">
        <f>C4*D4</f>
        <v/>
      </c>
      <c r="F4" s="13" t="n">
        <v>0.23</v>
      </c>
      <c r="G4" s="4">
        <f>E4*F4</f>
        <v/>
      </c>
      <c r="H4" s="4">
        <f>E4+G4</f>
        <v/>
      </c>
      <c r="J4" t="inlineStr">
        <is>
          <t>Celková tržba</t>
        </is>
      </c>
      <c r="K4" s="4">
        <f>SUM(E4:E9)</f>
        <v/>
      </c>
    </row>
    <row r="5">
      <c r="A5" t="inlineStr">
        <is>
          <t>Monitor 27 QHD</t>
        </is>
      </c>
      <c r="B5" t="inlineStr">
        <is>
          <t>Monitory</t>
        </is>
      </c>
      <c r="C5" s="4" t="n">
        <v>289</v>
      </c>
      <c r="D5" s="12" t="n">
        <v>5</v>
      </c>
      <c r="E5" s="4">
        <f>C5*D5</f>
        <v/>
      </c>
      <c r="F5" s="13" t="n">
        <v>0.23</v>
      </c>
      <c r="G5" s="4">
        <f>E5*F5</f>
        <v/>
      </c>
      <c r="H5" s="4">
        <f>E5+G5</f>
        <v/>
      </c>
      <c r="J5" t="inlineStr">
        <is>
          <t>Priemerná tržba</t>
        </is>
      </c>
      <c r="K5" s="4">
        <f>AVERAGE(E4:E9)</f>
        <v/>
      </c>
    </row>
    <row r="6">
      <c r="A6" t="inlineStr">
        <is>
          <t>Bezdrôtová klávesnica</t>
        </is>
      </c>
      <c r="B6" t="inlineStr">
        <is>
          <t>Príslušenstvo</t>
        </is>
      </c>
      <c r="C6" s="4" t="n">
        <v>49.9</v>
      </c>
      <c r="D6" s="12" t="n">
        <v>12</v>
      </c>
      <c r="E6" s="4">
        <f>C6*D6</f>
        <v/>
      </c>
      <c r="F6" s="13" t="n">
        <v>0.23</v>
      </c>
      <c r="G6" s="4">
        <f>E6*F6</f>
        <v/>
      </c>
      <c r="H6" s="4">
        <f>E6+G6</f>
        <v/>
      </c>
      <c r="J6" t="inlineStr">
        <is>
          <t>Minimálna tržba</t>
        </is>
      </c>
      <c r="K6" s="4">
        <f>MIN(E4:E9)</f>
        <v/>
      </c>
    </row>
    <row r="7">
      <c r="A7" t="inlineStr">
        <is>
          <t>Dokovacia stanica USB-C</t>
        </is>
      </c>
      <c r="B7" t="inlineStr">
        <is>
          <t>Príslušenstvo</t>
        </is>
      </c>
      <c r="C7" s="4" t="n">
        <v>129</v>
      </c>
      <c r="D7" s="12" t="n">
        <v>7</v>
      </c>
      <c r="E7" s="4">
        <f>C7*D7</f>
        <v/>
      </c>
      <c r="F7" s="13" t="n">
        <v>0.23</v>
      </c>
      <c r="G7" s="4">
        <f>E7*F7</f>
        <v/>
      </c>
      <c r="H7" s="4">
        <f>E7+G7</f>
        <v/>
      </c>
      <c r="J7" t="inlineStr">
        <is>
          <t>Maximálna tržba</t>
        </is>
      </c>
      <c r="K7" s="4">
        <f>MAX(E4:E9)</f>
        <v/>
      </c>
    </row>
    <row r="8">
      <c r="A8" t="inlineStr">
        <is>
          <t>SSD 1 TB</t>
        </is>
      </c>
      <c r="B8" t="inlineStr">
        <is>
          <t>Komponenty</t>
        </is>
      </c>
      <c r="C8" s="4" t="n">
        <v>94</v>
      </c>
      <c r="D8" s="12" t="n">
        <v>10</v>
      </c>
      <c r="E8" s="4">
        <f>C8*D8</f>
        <v/>
      </c>
      <c r="F8" s="13" t="n">
        <v>0.23</v>
      </c>
      <c r="G8" s="4">
        <f>E8*F8</f>
        <v/>
      </c>
      <c r="H8" s="4">
        <f>E8+G8</f>
        <v/>
      </c>
      <c r="J8" t="inlineStr">
        <is>
          <t>Počet</t>
        </is>
      </c>
      <c r="K8" s="12">
        <f>COUNT(E4:E9)</f>
        <v/>
      </c>
    </row>
    <row r="9">
      <c r="A9" t="inlineStr">
        <is>
          <t>Kancelárska stolička</t>
        </is>
      </c>
      <c r="B9" t="inlineStr">
        <is>
          <t>Kancelária</t>
        </is>
      </c>
      <c r="C9" s="4" t="n">
        <v>329</v>
      </c>
      <c r="D9" s="12" t="n">
        <v>2</v>
      </c>
      <c r="E9" s="4">
        <f>C9*D9</f>
        <v/>
      </c>
      <c r="F9" s="13" t="n">
        <v>0.23</v>
      </c>
      <c r="G9" s="4">
        <f>E9*F9</f>
        <v/>
      </c>
      <c r="H9" s="4">
        <f>E9+G9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Excel I. Začiatočník – Faktúra</t>
        </is>
      </c>
    </row>
    <row r="2"/>
    <row r="3">
      <c r="A3" t="inlineStr">
        <is>
          <t>Číslo faktúry</t>
        </is>
      </c>
      <c r="B3" t="inlineStr">
        <is>
          <t>FA-TRÉNING-001</t>
        </is>
      </c>
      <c r="D3" t="inlineStr">
        <is>
          <t>Sadzba DPH</t>
        </is>
      </c>
      <c r="E3" s="13" t="n">
        <v>0.23</v>
      </c>
    </row>
    <row r="4"/>
    <row r="5">
      <c r="A5" s="2" t="inlineStr">
        <is>
          <t>Kód</t>
        </is>
      </c>
      <c r="B5" s="2" t="inlineStr">
        <is>
          <t>Produkt</t>
        </is>
      </c>
      <c r="C5" s="2" t="inlineStr">
        <is>
          <t>Množstvo</t>
        </is>
      </c>
      <c r="D5" s="2" t="inlineStr">
        <is>
          <t>Jednotková cena</t>
        </is>
      </c>
      <c r="E5" s="2" t="inlineStr">
        <is>
          <t>Bez DPH</t>
        </is>
      </c>
      <c r="F5" s="2" t="inlineStr">
        <is>
          <t>DPH</t>
        </is>
      </c>
      <c r="G5" s="2" t="inlineStr">
        <is>
          <t>S DPH</t>
        </is>
      </c>
    </row>
    <row r="6">
      <c r="A6" t="inlineStr">
        <is>
          <t>P001</t>
        </is>
      </c>
      <c r="B6" t="inlineStr">
        <is>
          <t>Notebook Pro 14</t>
        </is>
      </c>
      <c r="C6" t="n">
        <v>2</v>
      </c>
      <c r="D6" s="4" t="n">
        <v>899</v>
      </c>
      <c r="E6" s="4">
        <f>C6*D6</f>
        <v/>
      </c>
      <c r="F6" s="4">
        <f>E6*$E$3</f>
        <v/>
      </c>
      <c r="G6" s="4">
        <f>E6+F6</f>
        <v/>
      </c>
    </row>
    <row r="7">
      <c r="A7" t="inlineStr">
        <is>
          <t>P003</t>
        </is>
      </c>
      <c r="B7" t="inlineStr">
        <is>
          <t>Monitor 27 QHD</t>
        </is>
      </c>
      <c r="C7" t="n">
        <v>2</v>
      </c>
      <c r="D7" s="4" t="n">
        <v>289</v>
      </c>
      <c r="E7" s="4">
        <f>C7*D7</f>
        <v/>
      </c>
      <c r="F7" s="4">
        <f>E7*$E$3</f>
        <v/>
      </c>
      <c r="G7" s="4">
        <f>E7+F7</f>
        <v/>
      </c>
    </row>
    <row r="8">
      <c r="A8" t="inlineStr">
        <is>
          <t>P007</t>
        </is>
      </c>
      <c r="B8" t="inlineStr">
        <is>
          <t>Dokovacia stanica USB-C</t>
        </is>
      </c>
      <c r="C8" t="n">
        <v>1</v>
      </c>
      <c r="D8" s="4" t="n">
        <v>129</v>
      </c>
      <c r="E8" s="4">
        <f>C8*D8</f>
        <v/>
      </c>
      <c r="F8" s="4">
        <f>E8*$E$3</f>
        <v/>
      </c>
      <c r="G8" s="4">
        <f>E8+F8</f>
        <v/>
      </c>
    </row>
    <row r="9">
      <c r="A9" t="inlineStr">
        <is>
          <t>P009</t>
        </is>
      </c>
      <c r="B9" t="inlineStr">
        <is>
          <t>Kancelársky headset</t>
        </is>
      </c>
      <c r="C9" t="n">
        <v>2</v>
      </c>
      <c r="D9" s="4" t="n">
        <v>79</v>
      </c>
      <c r="E9" s="4">
        <f>C9*D9</f>
        <v/>
      </c>
      <c r="F9" s="4">
        <f>E9*$E$3</f>
        <v/>
      </c>
      <c r="G9" s="4">
        <f>E9+F9</f>
        <v/>
      </c>
    </row>
    <row r="10"/>
    <row r="11">
      <c r="D11" s="7" t="inlineStr">
        <is>
          <t>TOTAL</t>
        </is>
      </c>
      <c r="E11" s="8">
        <f>SUM(E6:E9)</f>
        <v/>
      </c>
      <c r="F11" s="8">
        <f>SUM(F6:F9)</f>
        <v/>
      </c>
      <c r="G11" s="8">
        <f>SUM(G6:G9)</f>
        <v/>
      </c>
    </row>
  </sheetData>
  <mergeCells count="1">
    <mergeCell ref="A1:G1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1" customWidth="1" min="4" max="4"/>
    <col width="11" customWidth="1" min="5" max="5"/>
    <col width="16" customWidth="1" min="6" max="6"/>
    <col width="11" customWidth="1" min="7" max="7"/>
  </cols>
  <sheetData>
    <row r="1" ht="26" customHeight="1">
      <c r="A1" s="1" t="inlineStr">
        <is>
          <t>Excel I. Začiatočník – Dochádzka</t>
        </is>
      </c>
    </row>
    <row r="2"/>
    <row r="3">
      <c r="A3" s="2" t="inlineStr">
        <is>
          <t>Dátum</t>
        </is>
      </c>
      <c r="B3" s="2" t="inlineStr">
        <is>
          <t>Zamestnanec</t>
        </is>
      </c>
      <c r="C3" s="2" t="inlineStr">
        <is>
          <t>Príchod</t>
        </is>
      </c>
      <c r="D3" s="2" t="inlineStr">
        <is>
          <t>Odchod</t>
        </is>
      </c>
      <c r="E3" s="2" t="inlineStr">
        <is>
          <t>Prestávka (h)</t>
        </is>
      </c>
      <c r="F3" s="2" t="inlineStr">
        <is>
          <t>Odpracovaný čas</t>
        </is>
      </c>
      <c r="G3" s="2" t="inlineStr">
        <is>
          <t>Režim práce</t>
        </is>
      </c>
    </row>
    <row r="4">
      <c r="A4" s="14" t="n">
        <v>46266</v>
      </c>
      <c r="B4" t="inlineStr">
        <is>
          <t>Anna Nováková</t>
        </is>
      </c>
      <c r="C4" s="15" t="n">
        <v>0.3347222222222222</v>
      </c>
      <c r="D4" s="15" t="n">
        <v>0.6881944444444444</v>
      </c>
      <c r="E4" t="n">
        <v>0.5</v>
      </c>
      <c r="F4" s="16">
        <f>(D4-C4)-E4/24</f>
        <v/>
      </c>
      <c r="G4" t="inlineStr">
        <is>
          <t>Kancelária</t>
        </is>
      </c>
    </row>
    <row r="5">
      <c r="A5" s="14" t="n">
        <v>46266</v>
      </c>
      <c r="B5" t="inlineStr">
        <is>
          <t>Peter Horváth</t>
        </is>
      </c>
      <c r="C5" s="15" t="n">
        <v>0.325</v>
      </c>
      <c r="D5" s="15" t="n">
        <v>0.6736111111111112</v>
      </c>
      <c r="E5" t="n">
        <v>0.5</v>
      </c>
      <c r="F5" s="16">
        <f>(D5-C5)-E5/24</f>
        <v/>
      </c>
      <c r="G5" t="inlineStr">
        <is>
          <t>Kancelária</t>
        </is>
      </c>
    </row>
    <row r="6">
      <c r="A6" s="14" t="n">
        <v>46267</v>
      </c>
      <c r="B6" t="inlineStr">
        <is>
          <t>Anna Nováková</t>
        </is>
      </c>
      <c r="C6" s="15" t="n">
        <v>0.3326388888888889</v>
      </c>
      <c r="D6" s="15" t="n">
        <v>0.6868055555555556</v>
      </c>
      <c r="E6" t="n">
        <v>0.5</v>
      </c>
      <c r="F6" s="16">
        <f>(D6-C6)-E6/24</f>
        <v/>
      </c>
      <c r="G6" t="inlineStr">
        <is>
          <t>Kancelária</t>
        </is>
      </c>
    </row>
    <row r="7">
      <c r="A7" s="14" t="n">
        <v>46267</v>
      </c>
      <c r="B7" t="inlineStr">
        <is>
          <t>Peter Horváth</t>
        </is>
      </c>
      <c r="C7" s="15" t="n">
        <v>0.3402777777777778</v>
      </c>
      <c r="D7" s="15" t="n">
        <v>0.6916666666666667</v>
      </c>
      <c r="E7" t="n">
        <v>0.5</v>
      </c>
      <c r="F7" s="16">
        <f>(D7-C7)-E7/24</f>
        <v/>
      </c>
      <c r="G7" t="inlineStr">
        <is>
          <t>Na diaľku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2026-09-12T07:06:14Z</dcterms:created>
  <dcterms:modified xmlns:dcterms="http://purl.org/dc/terms/" xmlns:xsi="http://www.w3.org/2001/XMLSchema-instance" xsi:type="dcterms:W3CDTF">2026-09-12T07:40:08Z</dcterms:modified>
</cp:coreProperties>
</file>