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Entry" sheetId="1" state="visible" r:id="rId1"/>
    <sheet xmlns:r="http://schemas.openxmlformats.org/officeDocument/2006/relationships" name="Dates &amp; Series" sheetId="2" state="visible" r:id="rId2"/>
    <sheet xmlns:r="http://schemas.openxmlformats.org/officeDocument/2006/relationships" name="Sales Analysis" sheetId="3" state="visible" r:id="rId3"/>
    <sheet xmlns:r="http://schemas.openxmlformats.org/officeDocument/2006/relationships" name="Monthly Report" sheetId="4" state="visible" r:id="rId4"/>
  </sheets>
  <definedNames>
    <definedName name="_xlnm.Print_Area" localSheetId="3">'Monthly Report'!$A$1:$Q$15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#,##0.00 [$€-sk-SK];[Red](#,##0.00 [$€-sk-SK]);-"/>
  </numFmts>
  <fonts count="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6456CF"/>
      </patternFill>
    </fill>
    <fill>
      <patternFill patternType="solid">
        <fgColor rgb="00343A40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Report'!B3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'Monthly Report'!$A$4:$A$10</f>
            </numRef>
          </cat>
          <val>
            <numRef>
              <f>'Monthly Report'!$B$4:$B$10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DataEntry" displayName="tblDataEntry" ref="A3:F8" headerRowCount="1">
  <autoFilter ref="A3:F8"/>
  <tableColumns count="6">
    <tableColumn id="1" name="Employee"/>
    <tableColumn id="2" name="Department"/>
    <tableColumn id="3" name="City"/>
    <tableColumn id="4" name="Priority"/>
    <tableColumn id="5" name="Status"/>
    <tableColumn id="6" name="Not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blSalesIntermediate" displayName="tblSalesIntermediate" ref="A3:G27" headerRowCount="1">
  <autoFilter ref="A3:G27"/>
  <tableColumns count="7">
    <tableColumn id="1" name="Date"/>
    <tableColumn id="2" name="Region"/>
    <tableColumn id="3" name="Salesperson"/>
    <tableColumn id="4" name="ProductCode"/>
    <tableColumn id="5" name="Quantity"/>
    <tableColumn id="6" name="UnitPrice"/>
    <tableColumn id="7" name="Revenu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0" customWidth="1" min="4" max="4"/>
    <col width="13" customWidth="1" min="5" max="5"/>
    <col width="10" customWidth="1" min="6" max="6"/>
  </cols>
  <sheetData>
    <row r="1" ht="26" customHeight="1">
      <c r="A1" s="1" t="inlineStr">
        <is>
          <t>Excel II. Mierne Pokročilý – Efektívne vkladanie dát</t>
        </is>
      </c>
    </row>
    <row r="2"/>
    <row r="3">
      <c r="A3" s="2" t="inlineStr">
        <is>
          <t>Employee</t>
        </is>
      </c>
      <c r="B3" s="2" t="inlineStr">
        <is>
          <t>Department</t>
        </is>
      </c>
      <c r="C3" s="2" t="inlineStr">
        <is>
          <t>City</t>
        </is>
      </c>
      <c r="D3" s="2" t="inlineStr">
        <is>
          <t>Priority</t>
        </is>
      </c>
      <c r="E3" s="2" t="inlineStr">
        <is>
          <t>Status</t>
        </is>
      </c>
      <c r="F3" s="2" t="inlineStr">
        <is>
          <t>Note</t>
        </is>
      </c>
    </row>
    <row r="4">
      <c r="A4" t="inlineStr">
        <is>
          <t>Anna Nováková</t>
        </is>
      </c>
      <c r="B4" t="inlineStr">
        <is>
          <t>Finance</t>
        </is>
      </c>
      <c r="C4" t="inlineStr">
        <is>
          <t>Bratislava</t>
        </is>
      </c>
      <c r="D4" t="inlineStr">
        <is>
          <t>High</t>
        </is>
      </c>
      <c r="E4" t="inlineStr">
        <is>
          <t>Open</t>
        </is>
      </c>
      <c r="F4" t="inlineStr"/>
    </row>
    <row r="5">
      <c r="A5" t="inlineStr">
        <is>
          <t>Peter Horváth</t>
        </is>
      </c>
      <c r="B5" t="inlineStr">
        <is>
          <t>IT</t>
        </is>
      </c>
      <c r="C5" t="inlineStr">
        <is>
          <t>Košice</t>
        </is>
      </c>
      <c r="D5" t="inlineStr">
        <is>
          <t>Critical</t>
        </is>
      </c>
      <c r="E5" t="inlineStr">
        <is>
          <t>In Progress</t>
        </is>
      </c>
      <c r="F5" t="inlineStr"/>
    </row>
    <row r="6">
      <c r="A6" t="inlineStr">
        <is>
          <t>Lucia Kováčová</t>
        </is>
      </c>
      <c r="B6" t="inlineStr">
        <is>
          <t>Marketing</t>
        </is>
      </c>
      <c r="C6" t="inlineStr">
        <is>
          <t>Trnava</t>
        </is>
      </c>
      <c r="D6" t="inlineStr">
        <is>
          <t>Medium</t>
        </is>
      </c>
      <c r="E6" t="inlineStr">
        <is>
          <t>Open</t>
        </is>
      </c>
      <c r="F6" t="inlineStr"/>
    </row>
    <row r="7">
      <c r="A7" t="inlineStr">
        <is>
          <t>Martin Varga</t>
        </is>
      </c>
      <c r="B7" t="inlineStr">
        <is>
          <t>Sales</t>
        </is>
      </c>
      <c r="C7" t="inlineStr">
        <is>
          <t>Žilina</t>
        </is>
      </c>
      <c r="D7" t="inlineStr">
        <is>
          <t>Low</t>
        </is>
      </c>
      <c r="E7" t="inlineStr">
        <is>
          <t>Closed</t>
        </is>
      </c>
      <c r="F7" t="inlineStr"/>
    </row>
    <row r="8">
      <c r="A8" t="inlineStr">
        <is>
          <t>Eva Balážová</t>
        </is>
      </c>
      <c r="B8" t="inlineStr">
        <is>
          <t>HR</t>
        </is>
      </c>
      <c r="C8" t="inlineStr">
        <is>
          <t>Bratislava</t>
        </is>
      </c>
      <c r="D8" t="inlineStr">
        <is>
          <t>Medium</t>
        </is>
      </c>
      <c r="E8" t="inlineStr">
        <is>
          <t>In Progress</t>
        </is>
      </c>
      <c r="F8" t="inlineStr"/>
    </row>
  </sheetData>
  <mergeCells count="1">
    <mergeCell ref="A1:F1"/>
  </mergeCells>
  <dataValidations count="2">
    <dataValidation sqref="D4:D200" showDropDown="0" showInputMessage="0" showErrorMessage="0" allowBlank="1" type="list">
      <formula1>"Critical,High,Medium,Low"</formula1>
    </dataValidation>
    <dataValidation sqref="E4:E200" showDropDown="0" showInputMessage="0" showErrorMessage="0" allowBlank="1" type="list">
      <formula1>"Open,In Progress,Closed"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12" customWidth="1" min="3" max="3"/>
    <col width="19" customWidth="1" min="4" max="4"/>
    <col width="10" customWidth="1" min="5" max="5"/>
    <col width="10" customWidth="1" min="6" max="6"/>
    <col width="22" customWidth="1" min="7" max="7"/>
  </cols>
  <sheetData>
    <row r="1" ht="26" customHeight="1">
      <c r="A1" s="1" t="inlineStr">
        <is>
          <t>Excel II. – Postupnosti</t>
        </is>
      </c>
    </row>
    <row r="2"/>
    <row r="3">
      <c r="A3" s="2" t="inlineStr">
        <is>
          <t>Sequence</t>
        </is>
      </c>
      <c r="B3" s="2" t="inlineStr">
        <is>
          <t>Step 10</t>
        </is>
      </c>
      <c r="C3" s="2" t="inlineStr">
        <is>
          <t>Date</t>
        </is>
      </c>
      <c r="D3" s="2" t="inlineStr">
        <is>
          <t>Weekday</t>
        </is>
      </c>
      <c r="E3" s="2" t="inlineStr">
        <is>
          <t>Dynamic</t>
        </is>
      </c>
      <c r="G3" t="inlineStr">
        <is>
          <t>Modern Excel example</t>
        </is>
      </c>
    </row>
    <row r="4">
      <c r="A4" t="n">
        <v>1</v>
      </c>
      <c r="B4" t="n">
        <v>10</v>
      </c>
      <c r="C4" s="3" t="n">
        <v>46023</v>
      </c>
      <c r="D4">
        <f>TEXT(C4,"dddd")</f>
        <v/>
      </c>
      <c r="G4">
        <f>SEQUENCE(20,1,1,1)</f>
        <v/>
      </c>
    </row>
    <row r="5">
      <c r="A5">
        <f>A4+1</f>
        <v/>
      </c>
      <c r="B5">
        <f>B4+10</f>
        <v/>
      </c>
      <c r="C5" s="3">
        <f>C4+1</f>
        <v/>
      </c>
      <c r="D5">
        <f>TEXT(C5,"dddd")</f>
        <v/>
      </c>
    </row>
    <row r="6">
      <c r="A6">
        <f>A5+1</f>
        <v/>
      </c>
      <c r="B6">
        <f>B5+10</f>
        <v/>
      </c>
      <c r="C6" s="3">
        <f>C5+1</f>
        <v/>
      </c>
      <c r="D6">
        <f>TEXT(C6,"dddd")</f>
        <v/>
      </c>
    </row>
    <row r="7">
      <c r="A7">
        <f>A6+1</f>
        <v/>
      </c>
      <c r="B7">
        <f>B6+10</f>
        <v/>
      </c>
      <c r="C7" s="3">
        <f>C6+1</f>
        <v/>
      </c>
      <c r="D7">
        <f>TEXT(C7,"dddd")</f>
        <v/>
      </c>
    </row>
    <row r="8">
      <c r="A8">
        <f>A7+1</f>
        <v/>
      </c>
      <c r="B8">
        <f>B7+10</f>
        <v/>
      </c>
      <c r="C8" s="3">
        <f>C7+1</f>
        <v/>
      </c>
      <c r="D8">
        <f>TEXT(C8,"dddd")</f>
        <v/>
      </c>
    </row>
    <row r="9">
      <c r="A9">
        <f>A8+1</f>
        <v/>
      </c>
      <c r="B9">
        <f>B8+10</f>
        <v/>
      </c>
      <c r="C9" s="3">
        <f>C8+1</f>
        <v/>
      </c>
      <c r="D9">
        <f>TEXT(C9,"dddd")</f>
        <v/>
      </c>
    </row>
    <row r="10">
      <c r="A10">
        <f>A9+1</f>
        <v/>
      </c>
      <c r="B10">
        <f>B9+10</f>
        <v/>
      </c>
      <c r="C10" s="3">
        <f>C9+1</f>
        <v/>
      </c>
      <c r="D10">
        <f>TEXT(C10,"dddd")</f>
        <v/>
      </c>
    </row>
    <row r="11">
      <c r="A11">
        <f>A10+1</f>
        <v/>
      </c>
      <c r="B11">
        <f>B10+10</f>
        <v/>
      </c>
      <c r="C11" s="3">
        <f>C10+1</f>
        <v/>
      </c>
      <c r="D11">
        <f>TEXT(C11,"dddd")</f>
        <v/>
      </c>
    </row>
    <row r="12">
      <c r="A12">
        <f>A11+1</f>
        <v/>
      </c>
      <c r="B12">
        <f>B11+10</f>
        <v/>
      </c>
      <c r="C12" s="3">
        <f>C11+1</f>
        <v/>
      </c>
      <c r="D12">
        <f>TEXT(C12,"dddd")</f>
        <v/>
      </c>
    </row>
    <row r="13">
      <c r="A13">
        <f>A12+1</f>
        <v/>
      </c>
      <c r="B13">
        <f>B12+10</f>
        <v/>
      </c>
      <c r="C13" s="3">
        <f>C12+1</f>
        <v/>
      </c>
      <c r="D13">
        <f>TEXT(C13,"dddd")</f>
        <v/>
      </c>
    </row>
    <row r="14">
      <c r="A14">
        <f>A13+1</f>
        <v/>
      </c>
      <c r="B14">
        <f>B13+10</f>
        <v/>
      </c>
      <c r="C14" s="3">
        <f>C13+1</f>
        <v/>
      </c>
      <c r="D14">
        <f>TEXT(C14,"dddd")</f>
        <v/>
      </c>
    </row>
    <row r="15">
      <c r="A15">
        <f>A14+1</f>
        <v/>
      </c>
      <c r="B15">
        <f>B14+10</f>
        <v/>
      </c>
      <c r="C15" s="3">
        <f>C14+1</f>
        <v/>
      </c>
      <c r="D15">
        <f>TEXT(C15,"dddd")</f>
        <v/>
      </c>
    </row>
    <row r="16">
      <c r="A16">
        <f>A15+1</f>
        <v/>
      </c>
      <c r="B16">
        <f>B15+10</f>
        <v/>
      </c>
      <c r="C16" s="3">
        <f>C15+1</f>
        <v/>
      </c>
      <c r="D16">
        <f>TEXT(C16,"dddd")</f>
        <v/>
      </c>
    </row>
    <row r="17">
      <c r="A17">
        <f>A16+1</f>
        <v/>
      </c>
      <c r="B17">
        <f>B16+10</f>
        <v/>
      </c>
      <c r="C17" s="3">
        <f>C16+1</f>
        <v/>
      </c>
      <c r="D17">
        <f>TEXT(C17,"dddd")</f>
        <v/>
      </c>
    </row>
    <row r="18">
      <c r="A18">
        <f>A17+1</f>
        <v/>
      </c>
      <c r="B18">
        <f>B17+10</f>
        <v/>
      </c>
      <c r="C18" s="3">
        <f>C17+1</f>
        <v/>
      </c>
      <c r="D18">
        <f>TEXT(C18,"dddd")</f>
        <v/>
      </c>
    </row>
    <row r="19">
      <c r="A19">
        <f>A18+1</f>
        <v/>
      </c>
      <c r="B19">
        <f>B18+10</f>
        <v/>
      </c>
      <c r="C19" s="3">
        <f>C18+1</f>
        <v/>
      </c>
      <c r="D19">
        <f>TEXT(C19,"dddd")</f>
        <v/>
      </c>
    </row>
    <row r="20">
      <c r="A20">
        <f>A19+1</f>
        <v/>
      </c>
      <c r="B20">
        <f>B19+10</f>
        <v/>
      </c>
      <c r="C20" s="3">
        <f>C19+1</f>
        <v/>
      </c>
      <c r="D20">
        <f>TEXT(C20,"dddd")</f>
        <v/>
      </c>
    </row>
    <row r="21">
      <c r="A21">
        <f>A20+1</f>
        <v/>
      </c>
      <c r="B21">
        <f>B20+10</f>
        <v/>
      </c>
      <c r="C21" s="3">
        <f>C20+1</f>
        <v/>
      </c>
      <c r="D21">
        <f>TEXT(C21,"dddd")</f>
        <v/>
      </c>
    </row>
    <row r="22">
      <c r="A22">
        <f>A21+1</f>
        <v/>
      </c>
      <c r="B22">
        <f>B21+10</f>
        <v/>
      </c>
      <c r="C22" s="3">
        <f>C21+1</f>
        <v/>
      </c>
      <c r="D22">
        <f>TEXT(C22,"dddd")</f>
        <v/>
      </c>
    </row>
    <row r="23">
      <c r="A23">
        <f>A22+1</f>
        <v/>
      </c>
      <c r="B23">
        <f>B22+10</f>
        <v/>
      </c>
      <c r="C23" s="3">
        <f>C22+1</f>
        <v/>
      </c>
      <c r="D23">
        <f>TEXT(C23,"dddd")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19" customWidth="1" min="3" max="3"/>
    <col width="13" customWidth="1" min="4" max="4"/>
    <col width="10" customWidth="1" min="5" max="5"/>
    <col width="11" customWidth="1" min="6" max="6"/>
    <col width="10" customWidth="1" min="7" max="7"/>
  </cols>
  <sheetData>
    <row r="1" ht="26" customHeight="1">
      <c r="A1" s="1" t="inlineStr">
        <is>
          <t>Excel II. – Filtrovanie, triedenie a graf</t>
        </is>
      </c>
    </row>
    <row r="2"/>
    <row r="3">
      <c r="A3" s="2" t="inlineStr">
        <is>
          <t>Date</t>
        </is>
      </c>
      <c r="B3" s="2" t="inlineStr">
        <is>
          <t>Region</t>
        </is>
      </c>
      <c r="C3" s="2" t="inlineStr">
        <is>
          <t>Salesperson</t>
        </is>
      </c>
      <c r="D3" s="2" t="inlineStr">
        <is>
          <t>ProductCode</t>
        </is>
      </c>
      <c r="E3" s="2" t="inlineStr">
        <is>
          <t>Quantity</t>
        </is>
      </c>
      <c r="F3" s="2" t="inlineStr">
        <is>
          <t>UnitPrice</t>
        </is>
      </c>
      <c r="G3" s="2" t="inlineStr">
        <is>
          <t>Revenue</t>
        </is>
      </c>
    </row>
    <row r="4">
      <c r="A4" s="3" t="n">
        <v>46027</v>
      </c>
      <c r="B4" t="inlineStr">
        <is>
          <t>Bratislava</t>
        </is>
      </c>
      <c r="C4" t="inlineStr">
        <is>
          <t>Anna Nováková</t>
        </is>
      </c>
      <c r="D4" t="inlineStr">
        <is>
          <t>P001</t>
        </is>
      </c>
      <c r="E4" t="n">
        <v>2</v>
      </c>
      <c r="F4" s="4" t="n">
        <v>899</v>
      </c>
      <c r="G4" s="4">
        <f>E4*F4</f>
        <v/>
      </c>
    </row>
    <row r="5">
      <c r="A5" s="3" t="n">
        <v>46030</v>
      </c>
      <c r="B5" t="inlineStr">
        <is>
          <t>Košice</t>
        </is>
      </c>
      <c r="C5" t="inlineStr">
        <is>
          <t>Peter Horváth</t>
        </is>
      </c>
      <c r="D5" t="inlineStr">
        <is>
          <t>P003</t>
        </is>
      </c>
      <c r="E5" t="n">
        <v>5</v>
      </c>
      <c r="F5" s="4" t="n">
        <v>289</v>
      </c>
      <c r="G5" s="4">
        <f>E5*F5</f>
        <v/>
      </c>
    </row>
    <row r="6">
      <c r="A6" s="3" t="n">
        <v>46037</v>
      </c>
      <c r="B6" t="inlineStr">
        <is>
          <t>Trnava</t>
        </is>
      </c>
      <c r="C6" t="inlineStr">
        <is>
          <t>Lucia Kováčová</t>
        </is>
      </c>
      <c r="D6" t="inlineStr">
        <is>
          <t>P005</t>
        </is>
      </c>
      <c r="E6" t="n">
        <v>12</v>
      </c>
      <c r="F6" s="4" t="n">
        <v>49.9</v>
      </c>
      <c r="G6" s="4">
        <f>E6*F6</f>
        <v/>
      </c>
    </row>
    <row r="7">
      <c r="A7" s="3" t="n">
        <v>46044</v>
      </c>
      <c r="B7" t="inlineStr">
        <is>
          <t>Žilina</t>
        </is>
      </c>
      <c r="C7" t="inlineStr">
        <is>
          <t>Martin Varga</t>
        </is>
      </c>
      <c r="D7" t="inlineStr">
        <is>
          <t>P002</t>
        </is>
      </c>
      <c r="E7" t="n">
        <v>1</v>
      </c>
      <c r="F7" s="4" t="n">
        <v>1099</v>
      </c>
      <c r="G7" s="4">
        <f>E7*F7</f>
        <v/>
      </c>
    </row>
    <row r="8">
      <c r="A8" s="3" t="n">
        <v>46056</v>
      </c>
      <c r="B8" t="inlineStr">
        <is>
          <t>Bratislava</t>
        </is>
      </c>
      <c r="C8" t="inlineStr">
        <is>
          <t>Jakub Šimko</t>
        </is>
      </c>
      <c r="D8" t="inlineStr">
        <is>
          <t>P007</t>
        </is>
      </c>
      <c r="E8" t="n">
        <v>7</v>
      </c>
      <c r="F8" s="4" t="n">
        <v>129</v>
      </c>
      <c r="G8" s="4">
        <f>E8*F8</f>
        <v/>
      </c>
    </row>
    <row r="9">
      <c r="A9" s="3" t="n">
        <v>46062</v>
      </c>
      <c r="B9" t="inlineStr">
        <is>
          <t>Nitra</t>
        </is>
      </c>
      <c r="C9" t="inlineStr">
        <is>
          <t>Tomáš Nagy</t>
        </is>
      </c>
      <c r="D9" t="inlineStr">
        <is>
          <t>P010</t>
        </is>
      </c>
      <c r="E9" t="n">
        <v>10</v>
      </c>
      <c r="F9" s="4" t="n">
        <v>94</v>
      </c>
      <c r="G9" s="4">
        <f>E9*F9</f>
        <v/>
      </c>
    </row>
    <row r="10">
      <c r="A10" s="3" t="n">
        <v>46070</v>
      </c>
      <c r="B10" t="inlineStr">
        <is>
          <t>Prešov</t>
        </is>
      </c>
      <c r="C10" t="inlineStr">
        <is>
          <t>Zuzana Molnárová</t>
        </is>
      </c>
      <c r="D10" t="inlineStr">
        <is>
          <t>P006</t>
        </is>
      </c>
      <c r="E10" t="n">
        <v>15</v>
      </c>
      <c r="F10" s="4" t="n">
        <v>39.9</v>
      </c>
      <c r="G10" s="4">
        <f>E10*F10</f>
        <v/>
      </c>
    </row>
    <row r="11">
      <c r="A11" s="3" t="n">
        <v>46078</v>
      </c>
      <c r="B11" t="inlineStr">
        <is>
          <t>Košice</t>
        </is>
      </c>
      <c r="C11" t="inlineStr">
        <is>
          <t>Katarína Urbanová</t>
        </is>
      </c>
      <c r="D11" t="inlineStr">
        <is>
          <t>P004</t>
        </is>
      </c>
      <c r="E11" t="n">
        <v>6</v>
      </c>
      <c r="F11" s="4" t="n">
        <v>169</v>
      </c>
      <c r="G11" s="4">
        <f>E11*F11</f>
        <v/>
      </c>
    </row>
    <row r="12">
      <c r="A12" s="3" t="n">
        <v>46083</v>
      </c>
      <c r="B12" t="inlineStr">
        <is>
          <t>Bratislava</t>
        </is>
      </c>
      <c r="C12" t="inlineStr">
        <is>
          <t>Michal Bartoš</t>
        </is>
      </c>
      <c r="D12" t="inlineStr">
        <is>
          <t>P011</t>
        </is>
      </c>
      <c r="E12" t="n">
        <v>8</v>
      </c>
      <c r="F12" s="4" t="n">
        <v>109</v>
      </c>
      <c r="G12" s="4">
        <f>E12*F12</f>
        <v/>
      </c>
    </row>
    <row r="13">
      <c r="A13" s="3" t="n">
        <v>46093</v>
      </c>
      <c r="B13" t="inlineStr">
        <is>
          <t>Banská Bystrica</t>
        </is>
      </c>
      <c r="C13" t="inlineStr">
        <is>
          <t>Richard Tóth</t>
        </is>
      </c>
      <c r="D13" t="inlineStr">
        <is>
          <t>P012</t>
        </is>
      </c>
      <c r="E13" t="n">
        <v>4</v>
      </c>
      <c r="F13" s="4" t="n">
        <v>149</v>
      </c>
      <c r="G13" s="4">
        <f>E13*F13</f>
        <v/>
      </c>
    </row>
    <row r="14">
      <c r="A14" s="3" t="n">
        <v>46100</v>
      </c>
      <c r="B14" t="inlineStr">
        <is>
          <t>Trenčín</t>
        </is>
      </c>
      <c r="C14" t="inlineStr">
        <is>
          <t>Veronika Poláková</t>
        </is>
      </c>
      <c r="D14" t="inlineStr">
        <is>
          <t>P013</t>
        </is>
      </c>
      <c r="E14" t="n">
        <v>2</v>
      </c>
      <c r="F14" s="4" t="n">
        <v>219</v>
      </c>
      <c r="G14" s="4">
        <f>E14*F14</f>
        <v/>
      </c>
    </row>
    <row r="15">
      <c r="A15" s="3" t="n">
        <v>46110</v>
      </c>
      <c r="B15" t="inlineStr">
        <is>
          <t>Bratislava</t>
        </is>
      </c>
      <c r="C15" t="inlineStr">
        <is>
          <t>Martin Varga</t>
        </is>
      </c>
      <c r="D15" t="inlineStr">
        <is>
          <t>P001</t>
        </is>
      </c>
      <c r="E15" t="n">
        <v>3</v>
      </c>
      <c r="F15" s="4" t="n">
        <v>899</v>
      </c>
      <c r="G15" s="4">
        <f>E15*F15</f>
        <v/>
      </c>
    </row>
    <row r="16">
      <c r="A16" s="3" t="n">
        <v>46116</v>
      </c>
      <c r="B16" t="inlineStr">
        <is>
          <t>Košice</t>
        </is>
      </c>
      <c r="C16" t="inlineStr">
        <is>
          <t>Peter Horváth</t>
        </is>
      </c>
      <c r="D16" t="inlineStr">
        <is>
          <t>P009</t>
        </is>
      </c>
      <c r="E16" t="n">
        <v>9</v>
      </c>
      <c r="F16" s="4" t="n">
        <v>79</v>
      </c>
      <c r="G16" s="4">
        <f>E16*F16</f>
        <v/>
      </c>
    </row>
    <row r="17">
      <c r="A17" s="3" t="n">
        <v>46123</v>
      </c>
      <c r="B17" t="inlineStr">
        <is>
          <t>Bratislava</t>
        </is>
      </c>
      <c r="C17" t="inlineStr">
        <is>
          <t>Jakub Šimko</t>
        </is>
      </c>
      <c r="D17" t="inlineStr">
        <is>
          <t>P003</t>
        </is>
      </c>
      <c r="E17" t="n">
        <v>4</v>
      </c>
      <c r="F17" s="4" t="n">
        <v>289</v>
      </c>
      <c r="G17" s="4">
        <f>E17*F17</f>
        <v/>
      </c>
    </row>
    <row r="18">
      <c r="A18" s="3" t="n">
        <v>46133</v>
      </c>
      <c r="B18" t="inlineStr">
        <is>
          <t>Trnava</t>
        </is>
      </c>
      <c r="C18" t="inlineStr">
        <is>
          <t>Lucia Kováčová</t>
        </is>
      </c>
      <c r="D18" t="inlineStr">
        <is>
          <t>P008</t>
        </is>
      </c>
      <c r="E18" t="n">
        <v>3</v>
      </c>
      <c r="F18" s="4" t="n">
        <v>119</v>
      </c>
      <c r="G18" s="4">
        <f>E18*F18</f>
        <v/>
      </c>
    </row>
    <row r="19">
      <c r="A19" s="3" t="n">
        <v>46148</v>
      </c>
      <c r="B19" t="inlineStr">
        <is>
          <t>Žilina</t>
        </is>
      </c>
      <c r="C19" t="inlineStr">
        <is>
          <t>Martin Varga</t>
        </is>
      </c>
      <c r="D19" t="inlineStr">
        <is>
          <t>P014</t>
        </is>
      </c>
      <c r="E19" t="n">
        <v>2</v>
      </c>
      <c r="F19" s="4" t="n">
        <v>249</v>
      </c>
      <c r="G19" s="4">
        <f>E19*F19</f>
        <v/>
      </c>
    </row>
    <row r="20">
      <c r="A20" s="3" t="n">
        <v>46156</v>
      </c>
      <c r="B20" t="inlineStr">
        <is>
          <t>Nitra</t>
        </is>
      </c>
      <c r="C20" t="inlineStr">
        <is>
          <t>Tomáš Nagy</t>
        </is>
      </c>
      <c r="D20" t="inlineStr">
        <is>
          <t>P010</t>
        </is>
      </c>
      <c r="E20" t="n">
        <v>14</v>
      </c>
      <c r="F20" s="4" t="n">
        <v>94</v>
      </c>
      <c r="G20" s="4">
        <f>E20*F20</f>
        <v/>
      </c>
    </row>
    <row r="21">
      <c r="A21" s="3" t="n">
        <v>46165</v>
      </c>
      <c r="B21" t="inlineStr">
        <is>
          <t>Bratislava</t>
        </is>
      </c>
      <c r="C21" t="inlineStr">
        <is>
          <t>Anna Nováková</t>
        </is>
      </c>
      <c r="D21" t="inlineStr">
        <is>
          <t>P015</t>
        </is>
      </c>
      <c r="E21" t="n">
        <v>2</v>
      </c>
      <c r="F21" s="4" t="n">
        <v>329</v>
      </c>
      <c r="G21" s="4">
        <f>E21*F21</f>
        <v/>
      </c>
    </row>
    <row r="22">
      <c r="A22" s="3" t="n">
        <v>46176</v>
      </c>
      <c r="B22" t="inlineStr">
        <is>
          <t>Prešov</t>
        </is>
      </c>
      <c r="C22" t="inlineStr">
        <is>
          <t>Zuzana Molnárová</t>
        </is>
      </c>
      <c r="D22" t="inlineStr">
        <is>
          <t>P002</t>
        </is>
      </c>
      <c r="E22" t="n">
        <v>2</v>
      </c>
      <c r="F22" s="4" t="n">
        <v>1099</v>
      </c>
      <c r="G22" s="4">
        <f>E22*F22</f>
        <v/>
      </c>
    </row>
    <row r="23">
      <c r="A23" s="3" t="n">
        <v>46183</v>
      </c>
      <c r="B23" t="inlineStr">
        <is>
          <t>Košice</t>
        </is>
      </c>
      <c r="C23" t="inlineStr">
        <is>
          <t>Katarína Urbanová</t>
        </is>
      </c>
      <c r="D23" t="inlineStr">
        <is>
          <t>P005</t>
        </is>
      </c>
      <c r="E23" t="n">
        <v>20</v>
      </c>
      <c r="F23" s="4" t="n">
        <v>49.9</v>
      </c>
      <c r="G23" s="4">
        <f>E23*F23</f>
        <v/>
      </c>
    </row>
    <row r="24">
      <c r="A24" s="3" t="n">
        <v>46191</v>
      </c>
      <c r="B24" t="inlineStr">
        <is>
          <t>Bratislava</t>
        </is>
      </c>
      <c r="C24" t="inlineStr">
        <is>
          <t>Michal Bartoš</t>
        </is>
      </c>
      <c r="D24" t="inlineStr">
        <is>
          <t>P007</t>
        </is>
      </c>
      <c r="E24" t="n">
        <v>6</v>
      </c>
      <c r="F24" s="4" t="n">
        <v>129</v>
      </c>
      <c r="G24" s="4">
        <f>E24*F24</f>
        <v/>
      </c>
    </row>
    <row r="25">
      <c r="A25" s="3" t="n">
        <v>46204</v>
      </c>
      <c r="B25" t="inlineStr">
        <is>
          <t>Banská Bystrica</t>
        </is>
      </c>
      <c r="C25" t="inlineStr">
        <is>
          <t>Richard Tóth</t>
        </is>
      </c>
      <c r="D25" t="inlineStr">
        <is>
          <t>P013</t>
        </is>
      </c>
      <c r="E25" t="n">
        <v>3</v>
      </c>
      <c r="F25" s="4" t="n">
        <v>219</v>
      </c>
      <c r="G25" s="4">
        <f>E25*F25</f>
        <v/>
      </c>
    </row>
    <row r="26">
      <c r="A26" s="3" t="n">
        <v>46216</v>
      </c>
      <c r="B26" t="inlineStr">
        <is>
          <t>Trenčín</t>
        </is>
      </c>
      <c r="C26" t="inlineStr">
        <is>
          <t>Veronika Poláková</t>
        </is>
      </c>
      <c r="D26" t="inlineStr">
        <is>
          <t>P004</t>
        </is>
      </c>
      <c r="E26" t="n">
        <v>10</v>
      </c>
      <c r="F26" s="4" t="n">
        <v>169</v>
      </c>
      <c r="G26" s="4">
        <f>E26*F26</f>
        <v/>
      </c>
    </row>
    <row r="27">
      <c r="A27" s="3" t="n">
        <v>46230</v>
      </c>
      <c r="B27" t="inlineStr">
        <is>
          <t>Bratislava</t>
        </is>
      </c>
      <c r="C27" t="inlineStr">
        <is>
          <t>Jakub Šimko</t>
        </is>
      </c>
      <c r="D27" t="inlineStr">
        <is>
          <t>P001</t>
        </is>
      </c>
      <c r="E27" t="n">
        <v>1</v>
      </c>
      <c r="F27" s="4" t="n">
        <v>899</v>
      </c>
      <c r="G27" s="4">
        <f>E27*F27</f>
        <v/>
      </c>
    </row>
  </sheetData>
  <mergeCells count="1">
    <mergeCell ref="A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21" customWidth="1" min="4" max="4"/>
  </cols>
  <sheetData>
    <row r="1" ht="26" customHeight="1">
      <c r="A1" s="1" t="inlineStr">
        <is>
          <t>Excel II. – Mesačný report</t>
        </is>
      </c>
    </row>
    <row r="2"/>
    <row r="3">
      <c r="A3" s="2" t="inlineStr">
        <is>
          <t>Month</t>
        </is>
      </c>
      <c r="B3" s="2" t="inlineStr">
        <is>
          <t>Revenue</t>
        </is>
      </c>
      <c r="C3" s="2" t="inlineStr">
        <is>
          <t>Orders</t>
        </is>
      </c>
      <c r="D3" s="2" t="inlineStr">
        <is>
          <t>Average order</t>
        </is>
      </c>
    </row>
    <row r="4">
      <c r="A4" t="inlineStr">
        <is>
          <t>2026-01</t>
        </is>
      </c>
      <c r="B4" s="4" t="n">
        <v>4940.8</v>
      </c>
      <c r="C4" t="n">
        <v>4</v>
      </c>
      <c r="D4" s="4">
        <f>IFERROR(B4/C4,0)</f>
        <v/>
      </c>
    </row>
    <row r="5">
      <c r="A5" t="inlineStr">
        <is>
          <t>2026-02</t>
        </is>
      </c>
      <c r="B5" s="4" t="n">
        <v>3455.5</v>
      </c>
      <c r="C5" t="n">
        <v>4</v>
      </c>
      <c r="D5" s="4">
        <f>IFERROR(B5/C5,0)</f>
        <v/>
      </c>
    </row>
    <row r="6">
      <c r="A6" t="inlineStr">
        <is>
          <t>2026-03</t>
        </is>
      </c>
      <c r="B6" s="4" t="n">
        <v>4603</v>
      </c>
      <c r="C6" t="n">
        <v>4</v>
      </c>
      <c r="D6" s="4">
        <f>IFERROR(B6/C6,0)</f>
        <v/>
      </c>
    </row>
    <row r="7">
      <c r="A7" t="inlineStr">
        <is>
          <t>2026-04</t>
        </is>
      </c>
      <c r="B7" s="4" t="n">
        <v>2224</v>
      </c>
      <c r="C7" t="n">
        <v>3</v>
      </c>
      <c r="D7" s="4">
        <f>IFERROR(B7/C7,0)</f>
        <v/>
      </c>
    </row>
    <row r="8">
      <c r="A8" t="inlineStr">
        <is>
          <t>2026-05</t>
        </is>
      </c>
      <c r="B8" s="4" t="n">
        <v>2472</v>
      </c>
      <c r="C8" t="n">
        <v>3</v>
      </c>
      <c r="D8" s="4">
        <f>IFERROR(B8/C8,0)</f>
        <v/>
      </c>
    </row>
    <row r="9">
      <c r="A9" t="inlineStr">
        <is>
          <t>2026-06</t>
        </is>
      </c>
      <c r="B9" s="4" t="n">
        <v>3970</v>
      </c>
      <c r="C9" t="n">
        <v>3</v>
      </c>
      <c r="D9" s="4">
        <f>IFERROR(B9/C9,0)</f>
        <v/>
      </c>
    </row>
    <row r="10">
      <c r="A10" t="inlineStr">
        <is>
          <t>2026-07</t>
        </is>
      </c>
      <c r="B10" s="4" t="n">
        <v>3246</v>
      </c>
      <c r="C10" t="n">
        <v>3</v>
      </c>
      <c r="D10" s="4">
        <f>IFERROR(B10/C10,0)</f>
        <v/>
      </c>
    </row>
  </sheetData>
  <mergeCells count="1">
    <mergeCell ref="A1:D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2026-09-12T07:06:14Z</dcterms:created>
  <dcterms:modified xmlns:dcterms="http://purl.org/dc/terms/" xmlns:xsi="http://www.w3.org/2001/XMLSchema-instance" xsi:type="dcterms:W3CDTF">2026-09-12T07:06:14Z</dcterms:modified>
</cp:coreProperties>
</file>