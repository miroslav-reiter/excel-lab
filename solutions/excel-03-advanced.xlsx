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kty" sheetId="1" state="visible" r:id="rId1"/>
    <sheet xmlns:r="http://schemas.openxmlformats.org/officeDocument/2006/relationships" name="Vyhľadávanie" sheetId="2" state="visible" r:id="rId2"/>
    <sheet xmlns:r="http://schemas.openxmlformats.org/officeDocument/2006/relationships" name="Analýza" sheetId="3" state="visible" r:id="rId3"/>
    <sheet xmlns:r="http://schemas.openxmlformats.org/officeDocument/2006/relationships" name="Zdroj kontingenčnej tabuľk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5" customWidth="1" min="3" max="3"/>
    <col width="10" customWidth="1" min="4" max="4"/>
    <col width="10" customWidth="1" min="5" max="5"/>
  </cols>
  <sheetData>
    <row r="1">
      <c r="A1" s="1" t="inlineStr">
        <is>
          <t>Kód produktu</t>
        </is>
      </c>
      <c r="B1" s="1" t="inlineStr">
        <is>
          <t>Produkt</t>
        </is>
      </c>
      <c r="C1" s="1" t="inlineStr">
        <is>
          <t>Kategória</t>
        </is>
      </c>
      <c r="D1" s="1" t="inlineStr">
        <is>
          <t>Cena</t>
        </is>
      </c>
      <c r="E1" s="1" t="inlineStr">
        <is>
          <t>Náklady</t>
        </is>
      </c>
    </row>
    <row r="2">
      <c r="A2" t="inlineStr">
        <is>
          <t>P001</t>
        </is>
      </c>
      <c r="B2" t="inlineStr">
        <is>
          <t>Firemný notebook 15</t>
        </is>
      </c>
      <c r="C2" t="inlineStr">
        <is>
          <t>Počítače</t>
        </is>
      </c>
      <c r="D2" t="n">
        <v>899</v>
      </c>
      <c r="E2" t="n">
        <v>670</v>
      </c>
    </row>
    <row r="3">
      <c r="A3" t="inlineStr">
        <is>
          <t>P002</t>
        </is>
      </c>
      <c r="B3" t="inlineStr">
        <is>
          <t>Monitor 27</t>
        </is>
      </c>
      <c r="C3" t="inlineStr">
        <is>
          <t>Monitory</t>
        </is>
      </c>
      <c r="D3" t="n">
        <v>219</v>
      </c>
      <c r="E3" t="n">
        <v>150</v>
      </c>
    </row>
    <row r="4">
      <c r="A4" t="inlineStr">
        <is>
          <t>P003</t>
        </is>
      </c>
      <c r="B4" t="inlineStr">
        <is>
          <t>Ergonomická myš</t>
        </is>
      </c>
      <c r="C4" t="inlineStr">
        <is>
          <t>Príslušenstvo</t>
        </is>
      </c>
      <c r="D4" t="n">
        <v>29.9</v>
      </c>
      <c r="E4" t="n">
        <v>12</v>
      </c>
    </row>
    <row r="5">
      <c r="A5" t="inlineStr">
        <is>
          <t>P004</t>
        </is>
      </c>
      <c r="B5" t="inlineStr">
        <is>
          <t>Dokovacia stanica USB-C</t>
        </is>
      </c>
      <c r="C5" t="inlineStr">
        <is>
          <t>Príslušenstvo</t>
        </is>
      </c>
      <c r="D5" t="n">
        <v>129</v>
      </c>
      <c r="E5" t="n">
        <v>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</cols>
  <sheetData>
    <row r="1">
      <c r="A1" s="1" t="inlineStr">
        <is>
          <t>Kód produktu</t>
        </is>
      </c>
      <c r="B1" s="1" t="inlineStr">
        <is>
          <t>Produkt</t>
        </is>
      </c>
      <c r="C1" s="1" t="inlineStr">
        <is>
          <t>Cena</t>
        </is>
      </c>
    </row>
    <row r="2">
      <c r="A2" t="inlineStr">
        <is>
          <t>P002</t>
        </is>
      </c>
      <c r="B2">
        <f>VLOOKUP(A2,Produkty!A:E,2,FALSE)</f>
        <v/>
      </c>
      <c r="C2">
        <f>VLOOKUP(A2,Produkty!A:E,4,FALSE)</f>
        <v/>
      </c>
    </row>
    <row r="3">
      <c r="A3" t="inlineStr">
        <is>
          <t>Poznámka</t>
        </is>
      </c>
      <c r="B3" t="inlineStr">
        <is>
          <t>Modernou alternatívou je funkcia XLOOKUP.</t>
        </is>
      </c>
      <c r="C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1" t="inlineStr">
        <is>
          <t>Ukazovateľ</t>
        </is>
      </c>
      <c r="B1" s="1" t="inlineStr">
        <is>
          <t>Hodnota</t>
        </is>
      </c>
    </row>
    <row r="2">
      <c r="A2" t="inlineStr">
        <is>
          <t>Hodnota skladu cez SUMPRODUCT</t>
        </is>
      </c>
      <c r="B2">
        <f>SUMPRODUCT(Produkty!D2:D5,Produkty!E2:E5)</f>
        <v/>
      </c>
    </row>
    <row r="3">
      <c r="A3" t="inlineStr">
        <is>
          <t>Rozpočet EUR</t>
        </is>
      </c>
      <c r="B3" t="n">
        <v>12000</v>
      </c>
    </row>
    <row r="4">
      <c r="A4" t="inlineStr">
        <is>
          <t>Skutočnosť EUR</t>
        </is>
      </c>
      <c r="B4" t="n">
        <v>12750</v>
      </c>
    </row>
    <row r="5">
      <c r="A5" t="inlineStr">
        <is>
          <t>Odchýlka</t>
        </is>
      </c>
      <c r="B5">
        <f>B4-B3</f>
        <v/>
      </c>
    </row>
    <row r="6">
      <c r="A6" t="inlineStr">
        <is>
          <t>Percentuálna odchýlka</t>
        </is>
      </c>
      <c r="B6">
        <f>IF(B3=0,0,B5/B3)</f>
        <v/>
      </c>
    </row>
    <row r="7">
      <c r="A7" t="inlineStr">
        <is>
          <t>Model Hľadania riešenia</t>
        </is>
      </c>
      <c r="B7" t="inlineStr">
        <is>
          <t>Zmeňte vstup tak, aby výsledok dosiahol požadovanú hodnotu.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</cols>
  <sheetData>
    <row r="1">
      <c r="A1" s="1" t="inlineStr">
        <is>
          <t>Región</t>
        </is>
      </c>
      <c r="B1" s="1" t="inlineStr">
        <is>
          <t>Kategória</t>
        </is>
      </c>
      <c r="C1" s="1" t="inlineStr">
        <is>
          <t>Tržba</t>
        </is>
      </c>
    </row>
    <row r="2">
      <c r="A2" t="inlineStr">
        <is>
          <t>Západ</t>
        </is>
      </c>
      <c r="B2" t="inlineStr">
        <is>
          <t>Počítače</t>
        </is>
      </c>
      <c r="C2" t="n">
        <v>1798</v>
      </c>
    </row>
    <row r="3">
      <c r="A3" t="inlineStr">
        <is>
          <t>Stred</t>
        </is>
      </c>
      <c r="B3" t="inlineStr">
        <is>
          <t>Príslušenstvo</t>
        </is>
      </c>
      <c r="C3" t="n">
        <v>149.5</v>
      </c>
    </row>
    <row r="4">
      <c r="A4" t="inlineStr">
        <is>
          <t>Východ</t>
        </is>
      </c>
      <c r="B4" t="inlineStr">
        <is>
          <t>Príslušenstvo</t>
        </is>
      </c>
      <c r="C4" t="n">
        <v>387</v>
      </c>
    </row>
    <row r="5">
      <c r="A5" t="inlineStr">
        <is>
          <t>Západ</t>
        </is>
      </c>
      <c r="B5" t="inlineStr">
        <is>
          <t>Monitory</t>
        </is>
      </c>
      <c r="C5" t="n">
        <v>438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2026-09-12T07:26:09Z</dcterms:created>
  <dcterms:modified xmlns:dcterms="http://purl.org/dc/terms/" xmlns:xsi="http://www.w3.org/2001/XMLSchema-instance" xsi:type="dcterms:W3CDTF">2026-09-12T07:26:09Z</dcterms:modified>
</cp:coreProperties>
</file>