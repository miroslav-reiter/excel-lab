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Pivot Sourc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 [$€-sk-SK];[Red](#,##0.00 [$€-sk-SK]);-"/>
    <numFmt numFmtId="165" formatCode="0.00%;[Red](0.00%);-"/>
    <numFmt numFmtId="166" formatCode="yyyy-mm-dd"/>
    <numFmt numFmtId="167" formatCode="dd.mm.yyyy"/>
  </numFmts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456CF"/>
      </patternFill>
    </fill>
    <fill>
      <patternFill patternType="solid">
        <fgColor rgb="00343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roductsAdvanced" displayName="tblProductsAdvanced" ref="A3:F11" headerRowCount="1">
  <autoFilter ref="A3:F11"/>
  <tableColumns count="6">
    <tableColumn id="1" name="ProductCode"/>
    <tableColumn id="2" name="Product"/>
    <tableColumn id="3" name="Category"/>
    <tableColumn id="4" name="PriceEUR"/>
    <tableColumn id="5" name="VATRate"/>
    <tableColumn id="6" name="StockQty"/>
  </tableColumns>
  <tableStyleInfo name="TableStyleMedium4" showRowStripes="1"/>
</table>
</file>

<file path=xl/tables/table2.xml><?xml version="1.0" encoding="utf-8"?>
<table xmlns="http://schemas.openxmlformats.org/spreadsheetml/2006/main" id="2" name="tblBudgetAdvanced" displayName="tblBudgetAdvanced" ref="A3:F12" headerRowCount="1">
  <autoFilter ref="A3:F12"/>
  <tableColumns count="6">
    <tableColumn id="1" name="Month"/>
    <tableColumn id="2" name="Department"/>
    <tableColumn id="3" name="BudgetEUR"/>
    <tableColumn id="4" name="ActualEUR"/>
    <tableColumn id="5" name="Variance"/>
    <tableColumn id="6" name="VariancePercent"/>
  </tableColumns>
  <tableStyleInfo name="TableStyleMedium4" showRowStripes="1"/>
</table>
</file>

<file path=xl/tables/table3.xml><?xml version="1.0" encoding="utf-8"?>
<table xmlns="http://schemas.openxmlformats.org/spreadsheetml/2006/main" id="3" name="tblPivotSource" displayName="tblPivotSource" ref="A3:H13" headerRowCount="1">
  <autoFilter ref="A3:H13"/>
  <tableColumns count="8">
    <tableColumn id="1" name="Date"/>
    <tableColumn id="2" name="Month"/>
    <tableColumn id="3" name="Region"/>
    <tableColumn id="4" name="Salesperson"/>
    <tableColumn id="5" name="ProductCode"/>
    <tableColumn id="6" name="Quantity"/>
    <tableColumn id="7" name="UnitPrice"/>
    <tableColumn id="8" name="Revenu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Excel III. Pokročilý – Produkty</t>
        </is>
      </c>
    </row>
    <row r="2"/>
    <row r="3">
      <c r="A3" s="2" t="inlineStr">
        <is>
          <t>ProductCode</t>
        </is>
      </c>
      <c r="B3" s="2" t="inlineStr">
        <is>
          <t>Product</t>
        </is>
      </c>
      <c r="C3" s="2" t="inlineStr">
        <is>
          <t>Category</t>
        </is>
      </c>
      <c r="D3" s="2" t="inlineStr">
        <is>
          <t>PriceEUR</t>
        </is>
      </c>
      <c r="E3" s="2" t="inlineStr">
        <is>
          <t>VATRate</t>
        </is>
      </c>
      <c r="F3" s="2" t="inlineStr">
        <is>
          <t>StockQty</t>
        </is>
      </c>
    </row>
    <row r="4">
      <c r="A4" t="inlineStr">
        <is>
          <t>P001</t>
        </is>
      </c>
      <c r="B4" t="inlineStr">
        <is>
          <t>Notebook Pro 14</t>
        </is>
      </c>
      <c r="C4" t="inlineStr">
        <is>
          <t>Notebooky</t>
        </is>
      </c>
      <c r="D4" s="3" t="n">
        <v>899</v>
      </c>
      <c r="E4" s="4" t="n">
        <v>0.23</v>
      </c>
      <c r="F4" t="n">
        <v>45</v>
      </c>
    </row>
    <row r="5">
      <c r="A5" t="inlineStr">
        <is>
          <t>P002</t>
        </is>
      </c>
      <c r="B5" t="inlineStr">
        <is>
          <t>Notebook Business 15</t>
        </is>
      </c>
      <c r="C5" t="inlineStr">
        <is>
          <t>Notebooky</t>
        </is>
      </c>
      <c r="D5" s="3" t="n">
        <v>1099</v>
      </c>
      <c r="E5" s="4" t="n">
        <v>0.23</v>
      </c>
      <c r="F5" t="n">
        <v>28</v>
      </c>
    </row>
    <row r="6">
      <c r="A6" t="inlineStr">
        <is>
          <t>P003</t>
        </is>
      </c>
      <c r="B6" t="inlineStr">
        <is>
          <t>Monitor 27 QHD</t>
        </is>
      </c>
      <c r="C6" t="inlineStr">
        <is>
          <t>Monitory</t>
        </is>
      </c>
      <c r="D6" s="3" t="n">
        <v>289</v>
      </c>
      <c r="E6" s="4" t="n">
        <v>0.23</v>
      </c>
      <c r="F6" t="n">
        <v>75</v>
      </c>
    </row>
    <row r="7">
      <c r="A7" t="inlineStr">
        <is>
          <t>P004</t>
        </is>
      </c>
      <c r="B7" t="inlineStr">
        <is>
          <t>Monitor 24 FHD</t>
        </is>
      </c>
      <c r="C7" t="inlineStr">
        <is>
          <t>Monitory</t>
        </is>
      </c>
      <c r="D7" s="3" t="n">
        <v>169</v>
      </c>
      <c r="E7" s="4" t="n">
        <v>0.23</v>
      </c>
      <c r="F7" t="n">
        <v>96</v>
      </c>
    </row>
    <row r="8">
      <c r="A8" t="inlineStr">
        <is>
          <t>P005</t>
        </is>
      </c>
      <c r="B8" t="inlineStr">
        <is>
          <t>Klávesnica Wireless</t>
        </is>
      </c>
      <c r="C8" t="inlineStr">
        <is>
          <t>Príslušenstvo</t>
        </is>
      </c>
      <c r="D8" s="3" t="n">
        <v>49.9</v>
      </c>
      <c r="E8" s="4" t="n">
        <v>0.23</v>
      </c>
      <c r="F8" t="n">
        <v>180</v>
      </c>
    </row>
    <row r="9">
      <c r="A9" t="inlineStr">
        <is>
          <t>P006</t>
        </is>
      </c>
      <c r="B9" t="inlineStr">
        <is>
          <t>Myš Ergonomic</t>
        </is>
      </c>
      <c r="C9" t="inlineStr">
        <is>
          <t>Príslušenstvo</t>
        </is>
      </c>
      <c r="D9" s="3" t="n">
        <v>39.9</v>
      </c>
      <c r="E9" s="4" t="n">
        <v>0.23</v>
      </c>
      <c r="F9" t="n">
        <v>210</v>
      </c>
    </row>
    <row r="10">
      <c r="A10" t="inlineStr">
        <is>
          <t>P007</t>
        </is>
      </c>
      <c r="B10" t="inlineStr">
        <is>
          <t>USB-C Dock</t>
        </is>
      </c>
      <c r="C10" t="inlineStr">
        <is>
          <t>Príslušenstvo</t>
        </is>
      </c>
      <c r="D10" s="3" t="n">
        <v>129</v>
      </c>
      <c r="E10" s="4" t="n">
        <v>0.23</v>
      </c>
      <c r="F10" t="n">
        <v>62</v>
      </c>
    </row>
    <row r="11">
      <c r="A11" t="inlineStr">
        <is>
          <t>P008</t>
        </is>
      </c>
      <c r="B11" t="inlineStr">
        <is>
          <t>Webkamera 4K</t>
        </is>
      </c>
      <c r="C11" t="inlineStr">
        <is>
          <t>Príslušenstvo</t>
        </is>
      </c>
      <c r="D11" s="3" t="n">
        <v>119</v>
      </c>
      <c r="E11" s="4" t="n">
        <v>0.23</v>
      </c>
      <c r="F11" t="n">
        <v>54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  <col width="30" customWidth="1" min="4" max="4"/>
    <col width="30" customWidth="1" min="5" max="5"/>
    <col width="10" customWidth="1" min="6" max="6"/>
    <col width="30" customWidth="1" min="7" max="7"/>
  </cols>
  <sheetData>
    <row r="1">
      <c r="A1" s="1" t="inlineStr">
        <is>
          <t>Excel III. – Lookup funkcie</t>
        </is>
      </c>
    </row>
    <row r="2"/>
    <row r="3">
      <c r="A3" s="2" t="inlineStr">
        <is>
          <t>ProductCode</t>
        </is>
      </c>
      <c r="B3" s="2" t="inlineStr">
        <is>
          <t>VLOOKUP Product</t>
        </is>
      </c>
      <c r="C3" s="2" t="inlineStr">
        <is>
          <t>INDEX+MATCH Price</t>
        </is>
      </c>
      <c r="D3" s="2" t="inlineStr">
        <is>
          <t>VAT Rate</t>
        </is>
      </c>
      <c r="E3" s="2" t="inlineStr">
        <is>
          <t>Status</t>
        </is>
      </c>
      <c r="G3" t="inlineStr">
        <is>
          <t>XLOOKUP</t>
        </is>
      </c>
    </row>
    <row r="4">
      <c r="A4" t="inlineStr">
        <is>
          <t>P001</t>
        </is>
      </c>
      <c r="B4">
        <f>IFERROR(VLOOKUP(A4,Products!$A$4:$F$11,2,FALSE),"Nenájdené")</f>
        <v/>
      </c>
      <c r="C4" s="3">
        <f>IFERROR(INDEX(Products!$D$4:$D$11,MATCH(A4,Products!$A$4:$A$11,0)),0)</f>
        <v/>
      </c>
      <c r="D4" s="4">
        <f>IFERROR(INDEX(Products!$E$4:$E$11,MATCH(A4,Products!$A$4:$A$11,0)),0)</f>
        <v/>
      </c>
      <c r="E4">
        <f>IF(C4=0,"Skontrolovať kód","OK")</f>
        <v/>
      </c>
      <c r="G4">
        <f>XLOOKUP(A4,Products!A4:A11,Products!D4:D11,"Nenájdené")</f>
        <v/>
      </c>
    </row>
    <row r="5">
      <c r="A5" t="inlineStr">
        <is>
          <t>P003</t>
        </is>
      </c>
      <c r="B5">
        <f>IFERROR(VLOOKUP(A5,Products!$A$4:$F$11,2,FALSE),"Nenájdené")</f>
        <v/>
      </c>
      <c r="C5" s="3">
        <f>IFERROR(INDEX(Products!$D$4:$D$11,MATCH(A5,Products!$A$4:$A$11,0)),0)</f>
        <v/>
      </c>
      <c r="D5" s="4">
        <f>IFERROR(INDEX(Products!$E$4:$E$11,MATCH(A5,Products!$A$4:$A$11,0)),0)</f>
        <v/>
      </c>
      <c r="E5">
        <f>IF(C5=0,"Skontrolovať kód","OK")</f>
        <v/>
      </c>
    </row>
    <row r="6">
      <c r="A6" t="inlineStr">
        <is>
          <t>P007</t>
        </is>
      </c>
      <c r="B6">
        <f>IFERROR(VLOOKUP(A6,Products!$A$4:$F$11,2,FALSE),"Nenájdené")</f>
        <v/>
      </c>
      <c r="C6" s="3">
        <f>IFERROR(INDEX(Products!$D$4:$D$11,MATCH(A6,Products!$A$4:$A$11,0)),0)</f>
        <v/>
      </c>
      <c r="D6" s="4">
        <f>IFERROR(INDEX(Products!$E$4:$E$11,MATCH(A6,Products!$A$4:$A$11,0)),0)</f>
        <v/>
      </c>
      <c r="E6">
        <f>IF(C6=0,"Skontrolovať kód","OK")</f>
        <v/>
      </c>
    </row>
    <row r="7">
      <c r="A7" t="inlineStr">
        <is>
          <t>P999</t>
        </is>
      </c>
      <c r="B7">
        <f>IFERROR(VLOOKUP(A7,Products!$A$4:$F$11,2,FALSE),"Nenájdené")</f>
        <v/>
      </c>
      <c r="C7" s="3">
        <f>IFERROR(INDEX(Products!$D$4:$D$11,MATCH(A7,Products!$A$4:$A$11,0)),0)</f>
        <v/>
      </c>
      <c r="D7" s="4">
        <f>IFERROR(INDEX(Products!$E$4:$E$11,MATCH(A7,Products!$A$4:$A$11,0)),0)</f>
        <v/>
      </c>
      <c r="E7">
        <f>IF(C7=0,"Skontrolovať kód","OK")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1" customWidth="1" min="4" max="4"/>
    <col width="10" customWidth="1" min="5" max="5"/>
    <col width="21" customWidth="1" min="6" max="6"/>
    <col width="10" customWidth="1" min="7" max="7"/>
    <col width="30" customWidth="1" min="8" max="8"/>
    <col width="30" customWidth="1" min="9" max="9"/>
  </cols>
  <sheetData>
    <row r="1">
      <c r="A1" s="1" t="inlineStr">
        <is>
          <t>Excel III. – Rozpočet, SUMPRODUCT a Goal Seek</t>
        </is>
      </c>
    </row>
    <row r="2"/>
    <row r="3">
      <c r="A3" s="2" t="inlineStr">
        <is>
          <t>Month</t>
        </is>
      </c>
      <c r="B3" s="2" t="inlineStr">
        <is>
          <t>Department</t>
        </is>
      </c>
      <c r="C3" s="2" t="inlineStr">
        <is>
          <t>BudgetEUR</t>
        </is>
      </c>
      <c r="D3" s="2" t="inlineStr">
        <is>
          <t>ActualEUR</t>
        </is>
      </c>
      <c r="E3" s="2" t="inlineStr">
        <is>
          <t>Variance</t>
        </is>
      </c>
      <c r="F3" s="2" t="inlineStr">
        <is>
          <t>VariancePercent</t>
        </is>
      </c>
      <c r="H3" t="inlineStr">
        <is>
          <t>SUMPRODUCT Inventory</t>
        </is>
      </c>
    </row>
    <row r="4">
      <c r="A4" t="inlineStr">
        <is>
          <t>2026-01</t>
        </is>
      </c>
      <c r="B4" t="inlineStr">
        <is>
          <t>Finance</t>
        </is>
      </c>
      <c r="C4" s="3" t="n">
        <v>18000</v>
      </c>
      <c r="D4" s="3" t="n">
        <v>17350</v>
      </c>
      <c r="E4" s="3">
        <f>D4-C4</f>
        <v/>
      </c>
      <c r="F4" s="4">
        <f>IFERROR(E4/C4,0)</f>
        <v/>
      </c>
      <c r="H4" s="3">
        <f>SUMPRODUCT(Products!D4:D11,Products!F4:F11)</f>
        <v/>
      </c>
    </row>
    <row r="5">
      <c r="A5" t="inlineStr">
        <is>
          <t>2026-01</t>
        </is>
      </c>
      <c r="B5" t="inlineStr">
        <is>
          <t>IT</t>
        </is>
      </c>
      <c r="C5" s="3" t="n">
        <v>32000</v>
      </c>
      <c r="D5" s="3" t="n">
        <v>33850</v>
      </c>
      <c r="E5" s="3">
        <f>D5-C5</f>
        <v/>
      </c>
      <c r="F5" s="4">
        <f>IFERROR(E5/C5,0)</f>
        <v/>
      </c>
    </row>
    <row r="6">
      <c r="A6" t="inlineStr">
        <is>
          <t>2026-01</t>
        </is>
      </c>
      <c r="B6" t="inlineStr">
        <is>
          <t>Marketing</t>
        </is>
      </c>
      <c r="C6" s="3" t="n">
        <v>22000</v>
      </c>
      <c r="D6" s="3" t="n">
        <v>21400</v>
      </c>
      <c r="E6" s="3">
        <f>D6-C6</f>
        <v/>
      </c>
      <c r="F6" s="4">
        <f>IFERROR(E6/C6,0)</f>
        <v/>
      </c>
      <c r="H6" t="inlineStr">
        <is>
          <t>Goal Seek Model</t>
        </is>
      </c>
    </row>
    <row r="7">
      <c r="A7" t="inlineStr">
        <is>
          <t>2026-02</t>
        </is>
      </c>
      <c r="B7" t="inlineStr">
        <is>
          <t>Finance</t>
        </is>
      </c>
      <c r="C7" s="3" t="n">
        <v>18000</v>
      </c>
      <c r="D7" s="3" t="n">
        <v>18120</v>
      </c>
      <c r="E7" s="3">
        <f>D7-C7</f>
        <v/>
      </c>
      <c r="F7" s="4">
        <f>IFERROR(E7/C7,0)</f>
        <v/>
      </c>
      <c r="H7" t="inlineStr">
        <is>
          <t>Unit Price</t>
        </is>
      </c>
      <c r="I7" s="3" t="n">
        <v>100</v>
      </c>
    </row>
    <row r="8">
      <c r="A8" t="inlineStr">
        <is>
          <t>2026-02</t>
        </is>
      </c>
      <c r="B8" t="inlineStr">
        <is>
          <t>IT</t>
        </is>
      </c>
      <c r="C8" s="3" t="n">
        <v>30000</v>
      </c>
      <c r="D8" s="3" t="n">
        <v>29400</v>
      </c>
      <c r="E8" s="3">
        <f>D8-C8</f>
        <v/>
      </c>
      <c r="F8" s="4">
        <f>IFERROR(E8/C8,0)</f>
        <v/>
      </c>
      <c r="H8" t="inlineStr">
        <is>
          <t>Quantity</t>
        </is>
      </c>
      <c r="I8" t="n">
        <v>100</v>
      </c>
    </row>
    <row r="9">
      <c r="A9" t="inlineStr">
        <is>
          <t>2026-02</t>
        </is>
      </c>
      <c r="B9" t="inlineStr">
        <is>
          <t>Marketing</t>
        </is>
      </c>
      <c r="C9" s="3" t="n">
        <v>24000</v>
      </c>
      <c r="D9" s="3" t="n">
        <v>25150</v>
      </c>
      <c r="E9" s="3">
        <f>D9-C9</f>
        <v/>
      </c>
      <c r="F9" s="4">
        <f>IFERROR(E9/C9,0)</f>
        <v/>
      </c>
      <c r="H9" t="inlineStr">
        <is>
          <t>Revenue</t>
        </is>
      </c>
      <c r="I9" s="3">
        <f>I7*I8</f>
        <v/>
      </c>
    </row>
    <row r="10">
      <c r="A10" t="inlineStr">
        <is>
          <t>2026-03</t>
        </is>
      </c>
      <c r="B10" t="inlineStr">
        <is>
          <t>Finance</t>
        </is>
      </c>
      <c r="C10" s="3" t="n">
        <v>18500</v>
      </c>
      <c r="D10" s="3" t="n">
        <v>17950</v>
      </c>
      <c r="E10" s="3">
        <f>D10-C10</f>
        <v/>
      </c>
      <c r="F10" s="4">
        <f>IFERROR(E10/C10,0)</f>
        <v/>
      </c>
      <c r="H10" t="inlineStr">
        <is>
          <t>Target</t>
        </is>
      </c>
      <c r="I10" s="3" t="n">
        <v>15000</v>
      </c>
    </row>
    <row r="11">
      <c r="A11" t="inlineStr">
        <is>
          <t>2026-03</t>
        </is>
      </c>
      <c r="B11" t="inlineStr">
        <is>
          <t>IT</t>
        </is>
      </c>
      <c r="C11" s="3" t="n">
        <v>31000</v>
      </c>
      <c r="D11" s="3" t="n">
        <v>30550</v>
      </c>
      <c r="E11" s="3">
        <f>D11-C11</f>
        <v/>
      </c>
      <c r="F11" s="4">
        <f>IFERROR(E11/C11,0)</f>
        <v/>
      </c>
    </row>
    <row r="12">
      <c r="A12" t="inlineStr">
        <is>
          <t>2026-03</t>
        </is>
      </c>
      <c r="B12" t="inlineStr">
        <is>
          <t>Marketing</t>
        </is>
      </c>
      <c r="C12" s="3" t="n">
        <v>23000</v>
      </c>
      <c r="D12" s="3" t="n">
        <v>22800</v>
      </c>
      <c r="E12" s="3">
        <f>D12-C12</f>
        <v/>
      </c>
      <c r="F12" s="4">
        <f>IFERROR(E12/C12,0)</f>
        <v/>
      </c>
      <c r="H12" t="inlineStr">
        <is>
          <t>Goal Seek</t>
        </is>
      </c>
      <c r="I12" t="inlineStr">
        <is>
          <t>Set I9 to 15000 by changing I8</t>
        </is>
      </c>
    </row>
  </sheetData>
  <mergeCells count="1">
    <mergeCell ref="A1:F1"/>
  </mergeCells>
  <conditionalFormatting sqref="E4:E12">
    <cfRule type="cellIs" priority="1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7" customWidth="1" min="3" max="3"/>
    <col width="18" customWidth="1" min="4" max="4"/>
    <col width="13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Excel III. – Zdroj pre PivotTable</t>
        </is>
      </c>
    </row>
    <row r="2"/>
    <row r="3">
      <c r="A3" s="2" t="inlineStr">
        <is>
          <t>Date</t>
        </is>
      </c>
      <c r="B3" s="2" t="inlineStr">
        <is>
          <t>Month</t>
        </is>
      </c>
      <c r="C3" s="2" t="inlineStr">
        <is>
          <t>Region</t>
        </is>
      </c>
      <c r="D3" s="2" t="inlineStr">
        <is>
          <t>Salesperson</t>
        </is>
      </c>
      <c r="E3" s="2" t="inlineStr">
        <is>
          <t>ProductCode</t>
        </is>
      </c>
      <c r="F3" s="2" t="inlineStr">
        <is>
          <t>Quantity</t>
        </is>
      </c>
      <c r="G3" s="2" t="inlineStr">
        <is>
          <t>UnitPrice</t>
        </is>
      </c>
      <c r="H3" s="2" t="inlineStr">
        <is>
          <t>Revenue</t>
        </is>
      </c>
    </row>
    <row r="4">
      <c r="A4" s="5" t="n">
        <v>46027</v>
      </c>
      <c r="B4" t="inlineStr">
        <is>
          <t>2026-01</t>
        </is>
      </c>
      <c r="C4" t="inlineStr">
        <is>
          <t>Bratislava</t>
        </is>
      </c>
      <c r="D4" t="inlineStr">
        <is>
          <t>Anna Nováková</t>
        </is>
      </c>
      <c r="E4" t="inlineStr">
        <is>
          <t>P001</t>
        </is>
      </c>
      <c r="F4" t="n">
        <v>2</v>
      </c>
      <c r="G4" s="3" t="n">
        <v>899</v>
      </c>
      <c r="H4" s="3">
        <f>F4*G4</f>
        <v/>
      </c>
    </row>
    <row r="5">
      <c r="A5" s="5" t="n">
        <v>46030</v>
      </c>
      <c r="B5" t="inlineStr">
        <is>
          <t>2026-01</t>
        </is>
      </c>
      <c r="C5" t="inlineStr">
        <is>
          <t>Košice</t>
        </is>
      </c>
      <c r="D5" t="inlineStr">
        <is>
          <t>Peter Horváth</t>
        </is>
      </c>
      <c r="E5" t="inlineStr">
        <is>
          <t>P003</t>
        </is>
      </c>
      <c r="F5" t="n">
        <v>5</v>
      </c>
      <c r="G5" s="3" t="n">
        <v>289</v>
      </c>
      <c r="H5" s="3">
        <f>F5*G5</f>
        <v/>
      </c>
    </row>
    <row r="6">
      <c r="A6" s="5" t="n">
        <v>46037</v>
      </c>
      <c r="B6" t="inlineStr">
        <is>
          <t>2026-01</t>
        </is>
      </c>
      <c r="C6" t="inlineStr">
        <is>
          <t>Trnava</t>
        </is>
      </c>
      <c r="D6" t="inlineStr">
        <is>
          <t>Lucia Kováčová</t>
        </is>
      </c>
      <c r="E6" t="inlineStr">
        <is>
          <t>P005</t>
        </is>
      </c>
      <c r="F6" t="n">
        <v>12</v>
      </c>
      <c r="G6" s="3" t="n">
        <v>49.9</v>
      </c>
      <c r="H6" s="3">
        <f>F6*G6</f>
        <v/>
      </c>
    </row>
    <row r="7">
      <c r="A7" s="5" t="n">
        <v>46056</v>
      </c>
      <c r="B7" t="inlineStr">
        <is>
          <t>2026-02</t>
        </is>
      </c>
      <c r="C7" t="inlineStr">
        <is>
          <t>Bratislava</t>
        </is>
      </c>
      <c r="D7" t="inlineStr">
        <is>
          <t>Jakub Šimko</t>
        </is>
      </c>
      <c r="E7" t="inlineStr">
        <is>
          <t>P007</t>
        </is>
      </c>
      <c r="F7" t="n">
        <v>7</v>
      </c>
      <c r="G7" s="3" t="n">
        <v>129</v>
      </c>
      <c r="H7" s="3">
        <f>F7*G7</f>
        <v/>
      </c>
    </row>
    <row r="8">
      <c r="A8" s="5" t="n">
        <v>46062</v>
      </c>
      <c r="B8" t="inlineStr">
        <is>
          <t>2026-02</t>
        </is>
      </c>
      <c r="C8" t="inlineStr">
        <is>
          <t>Nitra</t>
        </is>
      </c>
      <c r="D8" t="inlineStr">
        <is>
          <t>Tomáš Nagy</t>
        </is>
      </c>
      <c r="E8" t="inlineStr">
        <is>
          <t>P006</t>
        </is>
      </c>
      <c r="F8" t="n">
        <v>10</v>
      </c>
      <c r="G8" s="3" t="n">
        <v>39.9</v>
      </c>
      <c r="H8" s="3">
        <f>F8*G8</f>
        <v/>
      </c>
    </row>
    <row r="9">
      <c r="A9" s="5" t="n">
        <v>46083</v>
      </c>
      <c r="B9" t="inlineStr">
        <is>
          <t>2026-03</t>
        </is>
      </c>
      <c r="C9" t="inlineStr">
        <is>
          <t>Bratislava</t>
        </is>
      </c>
      <c r="D9" t="inlineStr">
        <is>
          <t>Michal Bartoš</t>
        </is>
      </c>
      <c r="E9" t="inlineStr">
        <is>
          <t>P002</t>
        </is>
      </c>
      <c r="F9" t="n">
        <v>2</v>
      </c>
      <c r="G9" s="3" t="n">
        <v>1099</v>
      </c>
      <c r="H9" s="3">
        <f>F9*G9</f>
        <v/>
      </c>
    </row>
    <row r="10">
      <c r="A10" s="5" t="n">
        <v>46093</v>
      </c>
      <c r="B10" t="inlineStr">
        <is>
          <t>2026-03</t>
        </is>
      </c>
      <c r="C10" t="inlineStr">
        <is>
          <t>Banská Bystrica</t>
        </is>
      </c>
      <c r="D10" t="inlineStr">
        <is>
          <t>Richard Tóth</t>
        </is>
      </c>
      <c r="E10" t="inlineStr">
        <is>
          <t>P008</t>
        </is>
      </c>
      <c r="F10" t="n">
        <v>4</v>
      </c>
      <c r="G10" s="3" t="n">
        <v>119</v>
      </c>
      <c r="H10" s="3">
        <f>F10*G10</f>
        <v/>
      </c>
    </row>
    <row r="11">
      <c r="A11" s="5" t="n">
        <v>46123</v>
      </c>
      <c r="B11" t="inlineStr">
        <is>
          <t>2026-04</t>
        </is>
      </c>
      <c r="C11" t="inlineStr">
        <is>
          <t>Bratislava</t>
        </is>
      </c>
      <c r="D11" t="inlineStr">
        <is>
          <t>Jakub Šimko</t>
        </is>
      </c>
      <c r="E11" t="inlineStr">
        <is>
          <t>P003</t>
        </is>
      </c>
      <c r="F11" t="n">
        <v>4</v>
      </c>
      <c r="G11" s="3" t="n">
        <v>289</v>
      </c>
      <c r="H11" s="3">
        <f>F11*G11</f>
        <v/>
      </c>
    </row>
    <row r="12">
      <c r="A12" s="5" t="n">
        <v>46156</v>
      </c>
      <c r="B12" t="inlineStr">
        <is>
          <t>2026-05</t>
        </is>
      </c>
      <c r="C12" t="inlineStr">
        <is>
          <t>Nitra</t>
        </is>
      </c>
      <c r="D12" t="inlineStr">
        <is>
          <t>Tomáš Nagy</t>
        </is>
      </c>
      <c r="E12" t="inlineStr">
        <is>
          <t>P007</t>
        </is>
      </c>
      <c r="F12" t="n">
        <v>6</v>
      </c>
      <c r="G12" s="3" t="n">
        <v>129</v>
      </c>
      <c r="H12" s="3">
        <f>F12*G12</f>
        <v/>
      </c>
    </row>
    <row r="13">
      <c r="A13" s="5" t="n">
        <v>46176</v>
      </c>
      <c r="B13" t="inlineStr">
        <is>
          <t>2026-06</t>
        </is>
      </c>
      <c r="C13" t="inlineStr">
        <is>
          <t>Prešov</t>
        </is>
      </c>
      <c r="D13" t="inlineStr">
        <is>
          <t>Zuzana Molnárová</t>
        </is>
      </c>
      <c r="E13" t="inlineStr">
        <is>
          <t>P002</t>
        </is>
      </c>
      <c r="F13" t="n">
        <v>2</v>
      </c>
      <c r="G13" s="3" t="n">
        <v>1099</v>
      </c>
      <c r="H13" s="3">
        <f>F13*G13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2026-09-12T07:08:57Z</dcterms:created>
  <dcterms:modified xmlns:dcterms="http://purl.org/dc/terms/" xmlns:xsi="http://www.w3.org/2001/XMLSchema-instance" xsi:type="dcterms:W3CDTF">2026-09-12T07:08:57Z</dcterms:modified>
</cp:coreProperties>
</file>